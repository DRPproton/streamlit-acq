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0438fb22fb43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sychoPy_R" sheetId="1" r:id="R698c6e1b5a674ea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######"/>
    <x:numFmt numFmtId="201" formatCode="0.########"/>
    <x:numFmt numFmtId="202" formatCode="0.000E+00"/>
  </x:numFmts>
  <x:fonts count="3">
    <x:font>
      <x:sz val="11"/>
      <x:name val="Carlito"/>
    </x:font>
    <x:font>
      <x:sz val="11"/>
      <x:name val="Calibri"/>
    </x:font>
    <x:font>
      <x:b/>
      <x:sz val="11"/>
      <x:name val="Calibri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22c419978441a9" /><Relationship Type="http://schemas.openxmlformats.org/officeDocument/2006/relationships/theme" Target="/xl/theme/theme1.xml" Id="R04d22238878c49be" /><Relationship Type="http://schemas.openxmlformats.org/officeDocument/2006/relationships/sharedStrings" Target="/xl/sharedStrings.xml" Id="R3ffdd1d22fc946da" /><Relationship Type="http://schemas.openxmlformats.org/officeDocument/2006/relationships/worksheet" Target="/xl/worksheets/sheet1.xml" Id="R698c6e1b5a674ea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6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</x:cols>
  <x:sheetData>
    <x:row r="1" ht="21" customHeight="1">
      <x:c r="A1" s="2" t="str">
        <x:v>StudyID</x:v>
      </x:c>
      <x:c r="B1" s="2" t="str">
        <x:v>img_file</x:v>
      </x:c>
      <x:c r="C1" s="2" t="str">
        <x:v>Race</x:v>
      </x:c>
      <x:c r="D1" s="2" t="str">
        <x:v>Gender</x:v>
      </x:c>
      <x:c r="E1" s="2" t="str">
        <x:v>Option</x:v>
      </x:c>
      <x:c r="F1" s="2" t="str">
        <x:v>kOrder</x:v>
      </x:c>
      <x:c r="G1" s="2" t="str">
        <x:v>kResp</x:v>
      </x:c>
      <x:c r="H1" s="2" t="str">
        <x:v>fOrder</x:v>
      </x:c>
      <x:c r="I1" s="2" t="str">
        <x:v>fSlider</x:v>
      </x:c>
      <x:c r="J1" s="2" t="str">
        <x:v>cOrder</x:v>
      </x:c>
      <x:c r="K1" s="2" t="str">
        <x:v>cSlider</x:v>
      </x:c>
      <x:c r="L1" s="2" t="str">
        <x:v>fZ</x:v>
      </x:c>
      <x:c r="M1" s="2" t="str">
        <x:v>cZ</x:v>
      </x:c>
    </x:row>
    <x:row r="2" ht="21" customHeight="1">
      <x:c r="A2" s="1" t="n">
        <x:v>9994</x:v>
      </x:c>
      <x:c r="B2" s="1" t="str">
        <x:v>BM1.png</x:v>
      </x:c>
      <x:c r="C2" s="1" t="str">
        <x:v>Black</x:v>
      </x:c>
      <x:c r="D2" s="1" t="str">
        <x:v>Man</x:v>
      </x:c>
      <x:c r="E2" s="1" t="n">
        <x:v>1</x:v>
      </x:c>
      <x:c r="F2" s="1" t="n">
        <x:v>21</x:v>
      </x:c>
      <x:c r="G2" s="1" t="str">
        <x:v>d</x:v>
      </x:c>
      <x:c r="H2" s="1" t="n">
        <x:v>4</x:v>
      </x:c>
      <x:c r="I2" s="3" t="n">
        <x:v>1.613333</x:v>
      </x:c>
      <x:c r="J2" s="1" t="n">
        <x:v>11</x:v>
      </x:c>
      <x:c r="K2" s="3" t="n">
        <x:v>2.18</x:v>
      </x:c>
      <x:c r="L2" s="4" t="n">
        <x:f>(I2-AVERAGE($I$2:$I$25))/STDEV.S($I$2:$I$25)</x:f>
        <x:v>1.0583644713166434</x:v>
      </x:c>
      <x:c r="M2" s="4" t="n">
        <x:f>(K2-AVERAGE($K$2:$K$25))/STDEV.S($K$2:$K$25)</x:f>
        <x:v>1.0920484306313847</x:v>
      </x:c>
    </x:row>
    <x:row r="3" ht="21" customHeight="1">
      <x:c r="A3" s="1" t="n">
        <x:v>9994</x:v>
      </x:c>
      <x:c r="B3" s="1" t="str">
        <x:v>BM2.png</x:v>
      </x:c>
      <x:c r="C3" s="1" t="str">
        <x:v>Black</x:v>
      </x:c>
      <x:c r="D3" s="1" t="str">
        <x:v>Man</x:v>
      </x:c>
      <x:c r="E3" s="1" t="n">
        <x:v>2</x:v>
      </x:c>
      <x:c r="F3" s="1" t="n">
        <x:v>10</x:v>
      </x:c>
      <x:c r="G3" s="1" t="str">
        <x:v>d</x:v>
      </x:c>
      <x:c r="H3" s="1" t="n">
        <x:v>20</x:v>
      </x:c>
      <x:c r="I3" s="3" t="n">
        <x:v>1.686667</x:v>
      </x:c>
      <x:c r="J3" s="1" t="n">
        <x:v>7</x:v>
      </x:c>
      <x:c r="K3" s="3" t="n">
        <x:v>1.346667</x:v>
      </x:c>
      <x:c r="L3" s="4" t="n">
        <x:f>(I3-AVERAGE($I$2:$I$25))/STDEV.S($I$2:$I$25)</x:f>
        <x:v>1.1356138097363278</x:v>
      </x:c>
      <x:c r="M3" s="4" t="n">
        <x:f>(K3-AVERAGE($K$2:$K$25))/STDEV.S($K$2:$K$25)</x:f>
        <x:v>-0.14329983891294268</x:v>
      </x:c>
    </x:row>
    <x:row r="4" ht="21" customHeight="1">
      <x:c r="A4" s="1" t="n">
        <x:v>9994</x:v>
      </x:c>
      <x:c r="B4" s="1" t="str">
        <x:v>BW1.png</x:v>
      </x:c>
      <x:c r="C4" s="1" t="str">
        <x:v>Black</x:v>
      </x:c>
      <x:c r="D4" s="1" t="str">
        <x:v>Woman</x:v>
      </x:c>
      <x:c r="E4" s="1" t="n">
        <x:v>1</x:v>
      </x:c>
      <x:c r="F4" s="1" t="n">
        <x:v>0</x:v>
      </x:c>
      <x:c r="G4" s="1" t="str">
        <x:v>d</x:v>
      </x:c>
      <x:c r="H4" s="1" t="n">
        <x:v>18</x:v>
      </x:c>
      <x:c r="I4" s="3" t="n">
        <x:v>1.433333</x:v>
      </x:c>
      <x:c r="J4" s="1" t="n">
        <x:v>17</x:v>
      </x:c>
      <x:c r="K4" s="3" t="n">
        <x:v>0.746667</x:v>
      </x:c>
      <x:c r="L4" s="4" t="n">
        <x:f>(I4-AVERAGE($I$2:$I$25))/STDEV.S($I$2:$I$25)</x:f>
        <x:v>0.8687541825618617</x:v>
      </x:c>
      <x:c r="M4" s="4" t="n">
        <x:f>(K4-AVERAGE($K$2:$K$25))/STDEV.S($K$2:$K$25)</x:f>
        <x:v>-1.0327509487653024</x:v>
      </x:c>
    </x:row>
    <x:row r="5" ht="21" customHeight="1">
      <x:c r="A5" s="1" t="n">
        <x:v>9994</x:v>
      </x:c>
      <x:c r="B5" s="1" t="str">
        <x:v>BW2.png</x:v>
      </x:c>
      <x:c r="C5" s="1" t="str">
        <x:v>Black</x:v>
      </x:c>
      <x:c r="D5" s="1" t="str">
        <x:v>Woman</x:v>
      </x:c>
      <x:c r="E5" s="1" t="n">
        <x:v>2</x:v>
      </x:c>
      <x:c r="F5" s="1" t="n">
        <x:v>12</x:v>
      </x:c>
      <x:c r="G5" s="1" t="str">
        <x:v>d</x:v>
      </x:c>
      <x:c r="H5" s="1" t="n">
        <x:v>22</x:v>
      </x:c>
      <x:c r="I5" s="3" t="n">
        <x:v>0.98</x:v>
      </x:c>
      <x:c r="J5" s="1" t="n">
        <x:v>19</x:v>
      </x:c>
      <x:c r="K5" s="3" t="n">
        <x:v>1.353333</x:v>
      </x:c>
      <x:c r="L5" s="4" t="n">
        <x:f>(I5-AVERAGE($I$2:$I$25))/STDEV.S($I$2:$I$25)</x:f>
        <x:v>0.3912175101614644</x:v>
      </x:c>
      <x:c r="M5" s="4" t="n">
        <x:f>(K5-AVERAGE($K$2:$K$25))/STDEV.S($K$2:$K$25)</x:f>
        <x:v>-0.1334180370824832</x:v>
      </x:c>
    </x:row>
    <x:row r="6" ht="21" customHeight="1">
      <x:c r="A6" s="1" t="n">
        <x:v>9994</x:v>
      </x:c>
      <x:c r="B6" s="1" t="str">
        <x:v>LM1.png</x:v>
      </x:c>
      <x:c r="C6" s="1" t="str">
        <x:v>Latino</x:v>
      </x:c>
      <x:c r="D6" s="1" t="str">
        <x:v>Man</x:v>
      </x:c>
      <x:c r="E6" s="1" t="n">
        <x:v>1</x:v>
      </x:c>
      <x:c r="F6" s="1" t="n">
        <x:v>9</x:v>
      </x:c>
      <x:c r="G6" s="1" t="str">
        <x:v>d</x:v>
      </x:c>
      <x:c r="H6" s="1" t="n">
        <x:v>1</x:v>
      </x:c>
      <x:c r="I6" s="3" t="n">
        <x:v>0.466667</x:v>
      </x:c>
      <x:c r="J6" s="1" t="n">
        <x:v>0</x:v>
      </x:c>
      <x:c r="K6" s="3" t="n">
        <x:v>1.993333</x:v>
      </x:c>
      <x:c r="L6" s="4" t="n">
        <x:f>(I6-AVERAGE($I$2:$I$25))/STDEV.S($I$2:$I$25)</x:f>
        <x:v>-0.14952259182386018</x:v>
      </x:c>
      <x:c r="M6" s="4" t="n">
        <x:f>(K6-AVERAGE($K$2:$K$25))/STDEV.S($K$2:$K$25)</x:f>
        <x:v>0.8153298134267005</x:v>
      </x:c>
    </x:row>
    <x:row r="7" ht="21" customHeight="1">
      <x:c r="A7" s="1" t="n">
        <x:v>9994</x:v>
      </x:c>
      <x:c r="B7" s="1" t="str">
        <x:v>LM2.png</x:v>
      </x:c>
      <x:c r="C7" s="1" t="str">
        <x:v>Latino</x:v>
      </x:c>
      <x:c r="D7" s="1" t="str">
        <x:v>Man</x:v>
      </x:c>
      <x:c r="E7" s="1" t="n">
        <x:v>2</x:v>
      </x:c>
      <x:c r="F7" s="1" t="n">
        <x:v>19</x:v>
      </x:c>
      <x:c r="G7" s="1" t="str">
        <x:v>d</x:v>
      </x:c>
      <x:c r="H7" s="1" t="n">
        <x:v>16</x:v>
      </x:c>
      <x:c r="I7" s="3" t="n">
        <x:v>1.34</x:v>
      </x:c>
      <x:c r="J7" s="1" t="n">
        <x:v>23</x:v>
      </x:c>
      <x:c r="K7" s="3" t="n">
        <x:v>1.793333</x:v>
      </x:c>
      <x:c r="L7" s="4" t="n">
        <x:f>(I7-AVERAGE($I$2:$I$25))/STDEV.S($I$2:$I$25)</x:f>
        <x:v>0.7704380876710282</x:v>
      </x:c>
      <x:c r="M7" s="4" t="n">
        <x:f>(K7-AVERAGE($K$2:$K$25))/STDEV.S($K$2:$K$25)</x:f>
        <x:v>0.5188461101425808</x:v>
      </x:c>
    </x:row>
    <x:row r="8" ht="21" customHeight="1">
      <x:c r="A8" s="1" t="n">
        <x:v>9994</x:v>
      </x:c>
      <x:c r="B8" s="1" t="str">
        <x:v>LW1.png</x:v>
      </x:c>
      <x:c r="C8" s="1" t="str">
        <x:v>Latino</x:v>
      </x:c>
      <x:c r="D8" s="1" t="str">
        <x:v>Woman</x:v>
      </x:c>
      <x:c r="E8" s="1" t="n">
        <x:v>1</x:v>
      </x:c>
      <x:c r="F8" s="1" t="n">
        <x:v>5</x:v>
      </x:c>
      <x:c r="G8" s="1" t="str">
        <x:v>d</x:v>
      </x:c>
      <x:c r="H8" s="1" t="n">
        <x:v>8</x:v>
      </x:c>
      <x:c r="I8" s="3" t="n">
        <x:v>1.286667</x:v>
      </x:c>
      <x:c r="J8" s="1" t="n">
        <x:v>10</x:v>
      </x:c>
      <x:c r="K8" s="3" t="n">
        <x:v>1.92</x:v>
      </x:c>
      <x:c r="L8" s="4" t="n">
        <x:f>(I8-AVERAGE($I$2:$I$25))/STDEV.S($I$2:$I$25)</x:f>
        <x:v>0.7142576125034793</x:v>
      </x:c>
      <x:c r="M8" s="4" t="n">
        <x:f>(K8-AVERAGE($K$2:$K$25))/STDEV.S($K$2:$K$25)</x:f>
        <x:v>0.7066196163620285</x:v>
      </x:c>
    </x:row>
    <x:row r="9" ht="21" customHeight="1">
      <x:c r="A9" s="1" t="n">
        <x:v>9994</x:v>
      </x:c>
      <x:c r="B9" s="1" t="str">
        <x:v>LW2.png</x:v>
      </x:c>
      <x:c r="C9" s="1" t="str">
        <x:v>Latino</x:v>
      </x:c>
      <x:c r="D9" s="1" t="str">
        <x:v>Woman</x:v>
      </x:c>
      <x:c r="E9" s="1" t="n">
        <x:v>2</x:v>
      </x:c>
      <x:c r="F9" s="1" t="n">
        <x:v>4</x:v>
      </x:c>
      <x:c r="G9" s="1" t="str">
        <x:v>d</x:v>
      </x:c>
      <x:c r="H9" s="1" t="n">
        <x:v>15</x:v>
      </x:c>
      <x:c r="I9" s="3" t="n">
        <x:v>-0.16667</x:v>
      </x:c>
      <x:c r="J9" s="1" t="n">
        <x:v>3</x:v>
      </x:c>
      <x:c r="K9" s="3" t="n">
        <x:v>1.333333</x:v>
      </x:c>
      <x:c r="L9" s="4" t="n">
        <x:f>(I9-AVERAGE($I$2:$I$25))/STDEV.S($I$2:$I$25)</x:f>
        <x:v>-0.8166737665410116</x:v>
      </x:c>
      <x:c r="M9" s="4" t="n">
        <x:f>(K9-AVERAGE($K$2:$K$25))/STDEV.S($K$2:$K$25)</x:f>
        <x:v>-0.1630664074108949</x:v>
      </x:c>
    </x:row>
    <x:row r="10" ht="21" customHeight="1">
      <x:c r="A10" s="1" t="n">
        <x:v>9994</x:v>
      </x:c>
      <x:c r="B10" s="1" t="str">
        <x:v>WM1.png</x:v>
      </x:c>
      <x:c r="C10" s="1" t="str">
        <x:v>White</x:v>
      </x:c>
      <x:c r="D10" s="1" t="str">
        <x:v>Man</x:v>
      </x:c>
      <x:c r="E10" s="1" t="n">
        <x:v>1</x:v>
      </x:c>
      <x:c r="F10" s="1" t="n">
        <x:v>1</x:v>
      </x:c>
      <x:c r="G10" s="1" t="str">
        <x:v>d</x:v>
      </x:c>
      <x:c r="H10" s="1" t="n">
        <x:v>3</x:v>
      </x:c>
      <x:c r="I10" s="3" t="n">
        <x:v>-1.30667</x:v>
      </x:c>
      <x:c r="J10" s="1" t="n">
        <x:v>5</x:v>
      </x:c>
      <x:c r="K10" s="3" t="n">
        <x:v>1.026667</x:v>
      </x:c>
      <x:c r="L10" s="4" t="n">
        <x:f>(I10-AVERAGE($I$2:$I$25))/STDEV.S($I$2:$I$25)</x:f>
        <x:v>-2.01753892865463</x:v>
      </x:c>
      <x:c r="M10" s="4" t="n">
        <x:f>(K10-AVERAGE($K$2:$K$25))/STDEV.S($K$2:$K$25)</x:f>
        <x:v>-0.6176737641675345</x:v>
      </x:c>
    </x:row>
    <x:row r="11" ht="21" customHeight="1">
      <x:c r="A11" s="1" t="n">
        <x:v>9994</x:v>
      </x:c>
      <x:c r="B11" s="1" t="str">
        <x:v>WM2.png</x:v>
      </x:c>
      <x:c r="C11" s="1" t="str">
        <x:v>White</x:v>
      </x:c>
      <x:c r="D11" s="1" t="str">
        <x:v>Man</x:v>
      </x:c>
      <x:c r="E11" s="1" t="n">
        <x:v>2</x:v>
      </x:c>
      <x:c r="F11" s="1" t="n">
        <x:v>13</x:v>
      </x:c>
      <x:c r="G11" s="1" t="str">
        <x:v>d</x:v>
      </x:c>
      <x:c r="H11" s="1" t="n">
        <x:v>19</x:v>
      </x:c>
      <x:c r="I11" s="3" t="n">
        <x:v>-1.03333</x:v>
      </x:c>
      <x:c r="J11" s="1" t="n">
        <x:v>6</x:v>
      </x:c>
      <x:c r="K11" s="3" t="n">
        <x:v>0.6</x:v>
      </x:c>
      <x:c r="L11" s="4" t="n">
        <x:f>(I11-AVERAGE($I$2:$I$25))/STDEV.S($I$2:$I$25)</x:f>
        <x:v>-1.729605171275563</x:v>
      </x:c>
      <x:c r="M11" s="4" t="n">
        <x:f>(K11-AVERAGE($K$2:$K$25))/STDEV.S($K$2:$K$25)</x:f>
        <x:v>-1.2501728253131623</x:v>
      </x:c>
    </x:row>
    <x:row r="12" ht="21" customHeight="1">
      <x:c r="A12" s="1" t="n">
        <x:v>9994</x:v>
      </x:c>
      <x:c r="B12" s="1" t="str">
        <x:v>WM3.png</x:v>
      </x:c>
      <x:c r="C12" s="1" t="str">
        <x:v>White</x:v>
      </x:c>
      <x:c r="D12" s="1" t="str">
        <x:v>Man</x:v>
      </x:c>
      <x:c r="E12" s="1" t="n">
        <x:v>3</x:v>
      </x:c>
      <x:c r="F12" s="1" t="n">
        <x:v>22</x:v>
      </x:c>
      <x:c r="G12" s="1" t="str">
        <x:v>d</x:v>
      </x:c>
      <x:c r="H12" s="1" t="n">
        <x:v>21</x:v>
      </x:c>
      <x:c r="I12" s="3" t="n">
        <x:v>-0.69333</x:v>
      </x:c>
      <x:c r="J12" s="1" t="n">
        <x:v>16</x:v>
      </x:c>
      <x:c r="K12" s="3" t="n">
        <x:v>0.373333</x:v>
      </x:c>
      <x:c r="L12" s="4" t="n">
        <x:f>(I12-AVERAGE($I$2:$I$25))/STDEV.S($I$2:$I$25)</x:f>
        <x:v>-1.3714524036276416</x:v>
      </x:c>
      <x:c r="M12" s="4" t="n">
        <x:f>(K12-AVERAGE($K$2:$K$25))/STDEV.S($K$2:$K$25)</x:f>
        <x:v>-1.5861881831746705</x:v>
      </x:c>
    </x:row>
    <x:row r="13" ht="21" customHeight="1">
      <x:c r="A13" s="1" t="n">
        <x:v>9994</x:v>
      </x:c>
      <x:c r="B13" s="1" t="str">
        <x:v>WM4.png</x:v>
      </x:c>
      <x:c r="C13" s="1" t="str">
        <x:v>White</x:v>
      </x:c>
      <x:c r="D13" s="1" t="str">
        <x:v>Man</x:v>
      </x:c>
      <x:c r="E13" s="1" t="n">
        <x:v>4</x:v>
      </x:c>
      <x:c r="F13" s="1" t="n">
        <x:v>3</x:v>
      </x:c>
      <x:c r="G13" s="1" t="str">
        <x:v>d</x:v>
      </x:c>
      <x:c r="H13" s="1" t="n">
        <x:v>5</x:v>
      </x:c>
      <x:c r="I13" s="3" t="n">
        <x:v>1.146667</x:v>
      </x:c>
      <x:c r="J13" s="1" t="n">
        <x:v>4</x:v>
      </x:c>
      <x:c r="K13" s="3" t="n">
        <x:v>0.04</x:v>
      </x:c>
      <x:c r="L13" s="4" t="n">
        <x:f>(I13-AVERAGE($I$2:$I$25))/STDEV.S($I$2:$I$25)</x:f>
        <x:v>0.5667829434719824</x:v>
      </x:c>
      <x:c r="M13" s="4" t="n">
        <x:f>(K13-AVERAGE($K$2:$K$25))/STDEV.S($K$2:$K$25)</x:f>
        <x:v>-2.080327194508698</x:v>
      </x:c>
    </x:row>
    <x:row r="14" ht="21" customHeight="1">
      <x:c r="A14" s="1" t="n">
        <x:v>9994</x:v>
      </x:c>
      <x:c r="B14" s="1" t="str">
        <x:v>WW1.png</x:v>
      </x:c>
      <x:c r="C14" s="1" t="str">
        <x:v>White</x:v>
      </x:c>
      <x:c r="D14" s="1" t="str">
        <x:v>Woman</x:v>
      </x:c>
      <x:c r="E14" s="1" t="n">
        <x:v>1</x:v>
      </x:c>
      <x:c r="F14" s="1" t="n">
        <x:v>16</x:v>
      </x:c>
      <x:c r="G14" s="1" t="str">
        <x:v>d</x:v>
      </x:c>
      <x:c r="H14" s="1" t="n">
        <x:v>23</x:v>
      </x:c>
      <x:c r="I14" s="3" t="n">
        <x:v>-0.13333</x:v>
      </x:c>
      <x:c r="J14" s="1" t="n">
        <x:v>1</x:v>
      </x:c>
      <x:c r="K14" s="3" t="n">
        <x:v>0.806667</x:v>
      </x:c>
      <x:c r="L14" s="4" t="n">
        <x:f>(I14-AVERAGE($I$2:$I$25))/STDEV.S($I$2:$I$25)</x:f>
        <x:v>-0.7815537275016536</x:v>
      </x:c>
      <x:c r="M14" s="4" t="n">
        <x:f>(K14-AVERAGE($K$2:$K$25))/STDEV.S($K$2:$K$25)</x:f>
        <x:v>-0.9438058377800663</x:v>
      </x:c>
    </x:row>
    <x:row r="15" ht="21" customHeight="1">
      <x:c r="A15" s="1" t="n">
        <x:v>9994</x:v>
      </x:c>
      <x:c r="B15" s="1" t="str">
        <x:v>WW2.png</x:v>
      </x:c>
      <x:c r="C15" s="1" t="str">
        <x:v>White</x:v>
      </x:c>
      <x:c r="D15" s="1" t="str">
        <x:v>Woman</x:v>
      </x:c>
      <x:c r="E15" s="1" t="n">
        <x:v>2</x:v>
      </x:c>
      <x:c r="F15" s="1" t="n">
        <x:v>8</x:v>
      </x:c>
      <x:c r="G15" s="1" t="str">
        <x:v>d</x:v>
      </x:c>
      <x:c r="H15" s="1" t="n">
        <x:v>12</x:v>
      </x:c>
      <x:c r="I15" s="3" t="n">
        <x:v>0.16</x:v>
      </x:c>
      <x:c r="J15" s="1" t="n">
        <x:v>18</x:v>
      </x:c>
      <x:c r="K15" s="3" t="n">
        <x:v>0.453333</x:v>
      </x:c>
      <x:c r="L15" s="4" t="n">
        <x:f>(I15-AVERAGE($I$2:$I$25))/STDEV.S($I$2:$I$25)</x:f>
        <x:v>-0.47256269416587504</x:v>
      </x:c>
      <x:c r="M15" s="4" t="n">
        <x:f>(K15-AVERAGE($K$2:$K$25))/STDEV.S($K$2:$K$25)</x:f>
        <x:v>-1.4675947018610225</x:v>
      </x:c>
    </x:row>
    <x:row r="16" ht="21" customHeight="1">
      <x:c r="A16" s="1" t="n">
        <x:v>9994</x:v>
      </x:c>
      <x:c r="B16" s="1" t="str">
        <x:v>WW3.png</x:v>
      </x:c>
      <x:c r="C16" s="1" t="str">
        <x:v>White</x:v>
      </x:c>
      <x:c r="D16" s="1" t="str">
        <x:v>Woman</x:v>
      </x:c>
      <x:c r="E16" s="1" t="n">
        <x:v>3</x:v>
      </x:c>
      <x:c r="F16" s="1" t="n">
        <x:v>6</x:v>
      </x:c>
      <x:c r="G16" s="1" t="str">
        <x:v>d</x:v>
      </x:c>
      <x:c r="H16" s="1" t="n">
        <x:v>14</x:v>
      </x:c>
      <x:c r="I16" s="3" t="n">
        <x:v>-0.98667</x:v>
      </x:c>
      <x:c r="J16" s="1" t="n">
        <x:v>14</x:v>
      </x:c>
      <x:c r="K16" s="3" t="n">
        <x:v>1.873333</x:v>
      </x:c>
      <x:c r="L16" s="4" t="n">
        <x:f>(I16-AVERAGE($I$2:$I$25))/STDEV.S($I$2:$I$25)</x:f>
        <x:v>-1.6804539708683512</x:v>
      </x:c>
      <x:c r="M16" s="4" t="n">
        <x:f>(K16-AVERAGE($K$2:$K$25))/STDEV.S($K$2:$K$25)</x:f>
        <x:v>0.6374395914562284</x:v>
      </x:c>
    </x:row>
    <x:row r="17" ht="21" customHeight="1">
      <x:c r="A17" s="1" t="n">
        <x:v>9994</x:v>
      </x:c>
      <x:c r="B17" s="1" t="str">
        <x:v>WW4.png</x:v>
      </x:c>
      <x:c r="C17" s="1" t="str">
        <x:v>White</x:v>
      </x:c>
      <x:c r="D17" s="1" t="str">
        <x:v>Woman</x:v>
      </x:c>
      <x:c r="E17" s="1" t="n">
        <x:v>4</x:v>
      </x:c>
      <x:c r="F17" s="1" t="n">
        <x:v>11</x:v>
      </x:c>
      <x:c r="G17" s="1" t="str">
        <x:v>d</x:v>
      </x:c>
      <x:c r="H17" s="1" t="n">
        <x:v>0</x:v>
      </x:c>
      <x:c r="I17" s="3" t="n">
        <x:v>0.466667</x:v>
      </x:c>
      <x:c r="J17" s="1" t="n">
        <x:v>12</x:v>
      </x:c>
      <x:c r="K17" s="3" t="n">
        <x:v>2.373333</x:v>
      </x:c>
      <x:c r="L17" s="4" t="n">
        <x:f>(I17-AVERAGE($I$2:$I$25))/STDEV.S($I$2:$I$25)</x:f>
        <x:v>-0.14952259182386018</x:v>
      </x:c>
      <x:c r="M17" s="4" t="n">
        <x:f>(K17-AVERAGE($K$2:$K$25))/STDEV.S($K$2:$K$25)</x:f>
        <x:v>1.3786488496665283</x:v>
      </x:c>
    </x:row>
    <x:row r="18" ht="21" customHeight="1">
      <x:c r="A18" s="1" t="n">
        <x:v>9994</x:v>
      </x:c>
      <x:c r="B18" s="1" t="str">
        <x:v>AM1.png</x:v>
      </x:c>
      <x:c r="C18" s="1" t="str">
        <x:v>Asian</x:v>
      </x:c>
      <x:c r="D18" s="1" t="str">
        <x:v>Man</x:v>
      </x:c>
      <x:c r="E18" s="1" t="n">
        <x:v>1</x:v>
      </x:c>
      <x:c r="F18" s="1" t="n">
        <x:v>18</x:v>
      </x:c>
      <x:c r="G18" s="1" t="str">
        <x:v>d</x:v>
      </x:c>
      <x:c r="H18" s="1" t="n">
        <x:v>7</x:v>
      </x:c>
      <x:c r="I18" s="3" t="n">
        <x:v>1.773333</x:v>
      </x:c>
      <x:c r="J18" s="1" t="n">
        <x:v>2</x:v>
      </x:c>
      <x:c r="K18" s="3" t="n">
        <x:v>1.193333</x:v>
      </x:c>
      <x:c r="L18" s="4" t="n">
        <x:f>(I18-AVERAGE($I$2:$I$25))/STDEV.S($I$2:$I$25)</x:f>
        <x:v>1.226906950209783</x:v>
      </x:c>
      <x:c r="M18" s="4" t="n">
        <x:f>(K18-AVERAGE($K$2:$K$25))/STDEV.S($K$2:$K$25)</x:f>
        <x:v>-0.37060499970977895</x:v>
      </x:c>
    </x:row>
    <x:row r="19" ht="21" customHeight="1">
      <x:c r="A19" s="1" t="n">
        <x:v>9994</x:v>
      </x:c>
      <x:c r="B19" s="1" t="str">
        <x:v>AM2.png</x:v>
      </x:c>
      <x:c r="C19" s="1" t="str">
        <x:v>Asian</x:v>
      </x:c>
      <x:c r="D19" s="1" t="str">
        <x:v>Man</x:v>
      </x:c>
      <x:c r="E19" s="1" t="n">
        <x:v>2</x:v>
      </x:c>
      <x:c r="F19" s="1" t="n">
        <x:v>14</x:v>
      </x:c>
      <x:c r="G19" s="1" t="str">
        <x:v>d</x:v>
      </x:c>
      <x:c r="H19" s="1" t="n">
        <x:v>17</x:v>
      </x:c>
      <x:c r="I19" s="3" t="n">
        <x:v>0.166667</x:v>
      </x:c>
      <x:c r="J19" s="1" t="n">
        <x:v>22</x:v>
      </x:c>
      <x:c r="K19" s="3" t="n">
        <x:v>2.14</x:v>
      </x:c>
      <x:c r="L19" s="4" t="n">
        <x:f>(I19-AVERAGE($I$2:$I$25))/STDEV.S($I$2:$I$25)</x:f>
        <x:v>-0.46553973974849655</x:v>
      </x:c>
      <x:c r="M19" s="4" t="n">
        <x:f>(K19-AVERAGE($K$2:$K$25))/STDEV.S($K$2:$K$25)</x:f>
        <x:v>1.0327516899745606</x:v>
      </x:c>
    </x:row>
    <x:row r="20" ht="21" customHeight="1">
      <x:c r="A20" s="1" t="n">
        <x:v>9994</x:v>
      </x:c>
      <x:c r="B20" s="1" t="str">
        <x:v>AW1.png</x:v>
      </x:c>
      <x:c r="C20" s="1" t="str">
        <x:v>Asian</x:v>
      </x:c>
      <x:c r="D20" s="1" t="str">
        <x:v>Woman</x:v>
      </x:c>
      <x:c r="E20" s="1" t="n">
        <x:v>1</x:v>
      </x:c>
      <x:c r="F20" s="1" t="n">
        <x:v>17</x:v>
      </x:c>
      <x:c r="G20" s="1" t="str">
        <x:v>d</x:v>
      </x:c>
      <x:c r="H20" s="1" t="n">
        <x:v>6</x:v>
      </x:c>
      <x:c r="I20" s="3" t="n">
        <x:v>1.966667</x:v>
      </x:c>
      <x:c r="J20" s="1" t="n">
        <x:v>9</x:v>
      </x:c>
      <x:c r="K20" s="3" t="n">
        <x:v>1.893333</x:v>
      </x:c>
      <x:c r="L20" s="4" t="n">
        <x:f>(I20-AVERAGE($I$2:$I$25))/STDEV.S($I$2:$I$25)</x:f>
        <x:v>1.4305631477993217</x:v>
      </x:c>
      <x:c r="M20" s="4" t="n">
        <x:f>(K20-AVERAGE($K$2:$K$25))/STDEV.S($K$2:$K$25)</x:f>
        <x:v>0.6670879617846405</x:v>
      </x:c>
    </x:row>
    <x:row r="21" ht="21" customHeight="1">
      <x:c r="A21" s="1" t="n">
        <x:v>9994</x:v>
      </x:c>
      <x:c r="B21" s="1" t="str">
        <x:v>AW2.png</x:v>
      </x:c>
      <x:c r="C21" s="1" t="str">
        <x:v>Asian</x:v>
      </x:c>
      <x:c r="D21" s="1" t="str">
        <x:v>Woman</x:v>
      </x:c>
      <x:c r="E21" s="1" t="n">
        <x:v>2</x:v>
      </x:c>
      <x:c r="F21" s="1" t="n">
        <x:v>23</x:v>
      </x:c>
      <x:c r="G21" s="1" t="str">
        <x:v>d</x:v>
      </x:c>
      <x:c r="H21" s="1" t="n">
        <x:v>9</x:v>
      </x:c>
      <x:c r="I21" s="3" t="n">
        <x:v>1.513333</x:v>
      </x:c>
      <x:c r="J21" s="1" t="n">
        <x:v>20</x:v>
      </x:c>
      <x:c r="K21" s="3" t="n">
        <x:v>1.786667</x:v>
      </x:c>
      <x:c r="L21" s="4" t="n">
        <x:f>(I21-AVERAGE($I$2:$I$25))/STDEV.S($I$2:$I$25)</x:f>
        <x:v>0.9530254220084314</x:v>
      </x:c>
      <x:c r="M21" s="4" t="n">
        <x:f>(K21-AVERAGE($K$2:$K$25))/STDEV.S($K$2:$K$25)</x:f>
        <x:v>0.5089643083121209</x:v>
      </x:c>
    </x:row>
    <x:row r="22" ht="21" customHeight="1">
      <x:c r="A22" s="1" t="n">
        <x:v>9994</x:v>
      </x:c>
      <x:c r="B22" s="1" t="str">
        <x:v>MM1.png</x:v>
      </x:c>
      <x:c r="C22" s="1" t="str">
        <x:v>MENA</x:v>
      </x:c>
      <x:c r="D22" s="1" t="str">
        <x:v>Man</x:v>
      </x:c>
      <x:c r="E22" s="1" t="n">
        <x:v>1</x:v>
      </x:c>
      <x:c r="F22" s="1" t="n">
        <x:v>7</x:v>
      </x:c>
      <x:c r="G22" s="1" t="str">
        <x:v>d</x:v>
      </x:c>
      <x:c r="H22" s="1" t="n">
        <x:v>2</x:v>
      </x:c>
      <x:c r="I22" s="3" t="n">
        <x:v>1.02</x:v>
      </x:c>
      <x:c r="J22" s="1" t="n">
        <x:v>15</x:v>
      </x:c>
      <x:c r="K22" s="3" t="n">
        <x:v>2.153333</x:v>
      </x:c>
      <x:c r="L22" s="4" t="n">
        <x:f>(I22-AVERAGE($I$2:$I$25))/STDEV.S($I$2:$I$25)</x:f>
        <x:v>0.4333531298847493</x:v>
      </x:c>
      <x:c r="M22" s="4" t="n">
        <x:f>(K22-AVERAGE($K$2:$K$25))/STDEV.S($K$2:$K$25)</x:f>
        <x:v>1.0525167760539962</x:v>
      </x:c>
    </x:row>
    <x:row r="23" ht="21" customHeight="1">
      <x:c r="A23" s="1" t="n">
        <x:v>9994</x:v>
      </x:c>
      <x:c r="B23" s="1" t="str">
        <x:v>MM2.png</x:v>
      </x:c>
      <x:c r="C23" s="1" t="str">
        <x:v>MENA</x:v>
      </x:c>
      <x:c r="D23" s="1" t="str">
        <x:v>Man</x:v>
      </x:c>
      <x:c r="E23" s="1" t="n">
        <x:v>2</x:v>
      </x:c>
      <x:c r="F23" s="1" t="n">
        <x:v>2</x:v>
      </x:c>
      <x:c r="G23" s="1" t="str">
        <x:v>d</x:v>
      </x:c>
      <x:c r="H23" s="1" t="n">
        <x:v>10</x:v>
      </x:c>
      <x:c r="I23" s="3" t="n">
        <x:v>0.653333</x:v>
      </x:c>
      <x:c r="J23" s="1" t="n">
        <x:v>13</x:v>
      </x:c>
      <x:c r="K23" s="3" t="n">
        <x:v>1.28</x:v>
      </x:c>
      <x:c r="L23" s="4" t="n">
        <x:f>(I23-AVERAGE($I$2:$I$25))/STDEV.S($I$2:$I$25)</x:f>
        <x:v>0.047109597957807135</x:v>
      </x:c>
      <x:c r="M23" s="4" t="n">
        <x:f>(K23-AVERAGE($K$2:$K$25))/STDEV.S($K$2:$K$25)</x:f>
        <x:v>-0.2421282341471548</x:v>
      </x:c>
    </x:row>
    <x:row r="24" ht="21" customHeight="1">
      <x:c r="A24" s="1" t="n">
        <x:v>9994</x:v>
      </x:c>
      <x:c r="B24" s="1" t="str">
        <x:v>MW1.png</x:v>
      </x:c>
      <x:c r="C24" s="1" t="str">
        <x:v>MENA</x:v>
      </x:c>
      <x:c r="D24" s="1" t="str">
        <x:v>Woman</x:v>
      </x:c>
      <x:c r="E24" s="1" t="n">
        <x:v>1</x:v>
      </x:c>
      <x:c r="F24" s="1" t="n">
        <x:v>15</x:v>
      </x:c>
      <x:c r="G24" s="1" t="str">
        <x:v>d</x:v>
      </x:c>
      <x:c r="H24" s="1" t="n">
        <x:v>11</x:v>
      </x:c>
      <x:c r="I24" s="3" t="n">
        <x:v>0.813333</x:v>
      </x:c>
      <x:c r="J24" s="1" t="n">
        <x:v>21</x:v>
      </x:c>
      <x:c r="K24" s="3" t="n">
        <x:v>2.393333</x:v>
      </x:c>
      <x:c r="L24" s="4" t="n">
        <x:f>(I24-AVERAGE($I$2:$I$25))/STDEV.S($I$2:$I$25)</x:f>
        <x:v>0.21565207685094645</x:v>
      </x:c>
      <x:c r="M24" s="4" t="n">
        <x:f>(K24-AVERAGE($K$2:$K$25))/STDEV.S($K$2:$K$25)</x:f>
        <x:v>1.4082972199949404</x:v>
      </x:c>
    </x:row>
    <x:row r="25" ht="21" customHeight="1">
      <x:c r="A25" s="1" t="n">
        <x:v>9994</x:v>
      </x:c>
      <x:c r="B25" s="1" t="str">
        <x:v>MW2.png</x:v>
      </x:c>
      <x:c r="C25" s="1" t="str">
        <x:v>MENA</x:v>
      </x:c>
      <x:c r="D25" s="1" t="str">
        <x:v>Woman</x:v>
      </x:c>
      <x:c r="E25" s="1" t="n">
        <x:v>2</x:v>
      </x:c>
      <x:c r="F25" s="1" t="n">
        <x:v>20</x:v>
      </x:c>
      <x:c r="G25" s="1" t="str">
        <x:v>d</x:v>
      </x:c>
      <x:c r="H25" s="1" t="n">
        <x:v>13</x:v>
      </x:c>
      <x:c r="I25" s="3" t="n">
        <x:v>0.44</x:v>
      </x:c>
      <x:c r="J25" s="1" t="n">
        <x:v>8</x:v>
      </x:c>
      <x:c r="K25" s="3" t="n">
        <x:v>1.586667</x:v>
      </x:c>
      <x:c r="L25" s="4" t="n">
        <x:f>(I25-AVERAGE($I$2:$I$25))/STDEV.S($I$2:$I$25)</x:f>
        <x:v>-0.1776133561028811</x:v>
      </x:c>
      <x:c r="M25" s="4" t="n">
        <x:f>(K25-AVERAGE($K$2:$K$25))/STDEV.S($K$2:$K$25)</x:f>
        <x:v>0.21248060502800112</x:v>
      </x:c>
    </x:row>
    <x:row r="26" ht="21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</x:row>
    <x:row r="27" ht="21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5" t="n">
        <x:f>AVERAGE(L2:L25)</x:f>
        <x:v>4.7415775010032725e-17</x:v>
      </x:c>
      <x:c r="M27" s="5" t="n">
        <x:f>AVERAGE(M2:M25)</x:f>
        <x:v>-3.353798720221827e-17</x:v>
      </x:c>
    </x:row>
    <x:row r="30" ht="30" customHeight="1">
      <x:c r="A30" s="6" t="str">
        <x:v>Source: Screenshot 2026-09-23 213541.png, PsychoPy_R sheet. StudyID is 9994 as shown.</x:v>
      </x:c>
      <x:c r="B30" s="6"/>
      <x:c r="C30" s="6"/>
      <x:c r="D30" s="6"/>
      <x:c r="E30" s="6"/>
      <x:c r="F30" s="6"/>
      <x:c r="G30" s="6"/>
      <x:c r="H30" s="6"/>
      <x:c r="I30" s="6"/>
      <x:c r="J30" s="6"/>
      <x:c r="K30" s="6"/>
      <x:c r="L30" s="6"/>
      <x:c r="M30" s="6"/>
    </x:row>
    <x:row r="31" ht="30" customHeight="1">
      <x:c r="A31" s="6" t="str">
        <x:v>fZ and cZ are calculated as sample z-scores from the displayed slider values. Original full-precision inputs are unavailable.</x:v>
      </x:c>
      <x:c r="B31" s="6"/>
      <x:c r="C31" s="6"/>
      <x:c r="D31" s="6"/>
      <x:c r="E31" s="6"/>
      <x:c r="F31" s="6"/>
      <x:c r="G31" s="6"/>
      <x:c r="H31" s="6"/>
      <x:c r="I31" s="6"/>
      <x:c r="J31" s="6"/>
      <x:c r="K31" s="6"/>
      <x:c r="L31" s="6"/>
      <x:c r="M31" s="6"/>
    </x:row>
    <x:row r="32" ht="30" customHeight="1">
      <x:c r="A32" s="6" t="str">
        <x:v>Z-scores can differ slightly in the last decimal places from the screenshot. Row 27 contains mean z-scores, approximately zero.</x:v>
      </x:c>
      <x:c r="B32" s="6"/>
      <x:c r="C32" s="6"/>
      <x:c r="D32" s="6"/>
      <x:c r="E32" s="6"/>
      <x:c r="F32" s="6"/>
      <x:c r="G32" s="6"/>
      <x:c r="H32" s="6"/>
      <x:c r="I32" s="6"/>
      <x:c r="J32" s="6"/>
      <x:c r="K32" s="6"/>
      <x:c r="L32" s="6"/>
      <x:c r="M32" s="6"/>
    </x:row>
    <x:row r="33" ht="30" customHeight="1">
      <x:c r="A33" s="6" t="str">
        <x:v>The Qualtrics_T&amp;R and Measurements tabs are visible, but their contents were not supplied.</x:v>
      </x:c>
      <x:c r="B33" s="6"/>
      <x:c r="C33" s="6"/>
      <x:c r="D33" s="6"/>
      <x:c r="E33" s="6"/>
      <x:c r="F33" s="6"/>
      <x:c r="G33" s="6"/>
      <x:c r="H33" s="6"/>
      <x:c r="I33" s="6"/>
      <x:c r="J33" s="6"/>
      <x:c r="K33" s="6"/>
      <x:c r="L33" s="6"/>
      <x:c r="M33" s="6"/>
    </x:row>
  </x:sheetData>
  <x:mergeCells>
    <x:mergeCell ref="A30:M30"/>
    <x:mergeCell ref="A31:M31"/>
    <x:mergeCell ref="A32:M32"/>
    <x:mergeCell ref="A33:M33"/>
  </x:mergeCells>
  <x:pageMargins left="0.7" right="0.7" top="0.75" bottom="0.75" header="0.3" footer="0.3"/>
</x:worksheet>
</file>