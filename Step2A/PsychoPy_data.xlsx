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ychoPy_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<sst xmlns="http://schemas.openxmlformats.org/spreadsheetml/2006/main" count="89" uniqueCount="48">
  <si>
    <t xml:space="preserve">StudyID</t>
  </si>
  <si>
    <t xml:space="preserve">img_file</t>
  </si>
  <si>
    <t xml:space="preserve">Race</t>
  </si>
  <si>
    <t xml:space="preserve">Gender</t>
  </si>
  <si>
    <t xml:space="preserve">Option</t>
  </si>
  <si>
    <t xml:space="preserve">kOrder</t>
  </si>
  <si>
    <t xml:space="preserve">kResp</t>
  </si>
  <si>
    <t xml:space="preserve">fOrder</t>
  </si>
  <si>
    <t xml:space="preserve">fSlider</t>
  </si>
  <si>
    <t xml:space="preserve">cOrder</t>
  </si>
  <si>
    <t xml:space="preserve">cSlider</t>
  </si>
  <si>
    <t xml:space="preserve">fZ</t>
  </si>
  <si>
    <t xml:space="preserve">cZ</t>
  </si>
  <si>
    <t xml:space="preserve">BM1.png</t>
  </si>
  <si>
    <t xml:space="preserve">Black</t>
  </si>
  <si>
    <t xml:space="preserve">Man</t>
  </si>
  <si>
    <t xml:space="preserve">BM2.png</t>
  </si>
  <si>
    <t xml:space="preserve">BW1.png</t>
  </si>
  <si>
    <t xml:space="preserve">Woman</t>
  </si>
  <si>
    <t xml:space="preserve">BW2.png</t>
  </si>
  <si>
    <t xml:space="preserve">LM1.png</t>
  </si>
  <si>
    <t xml:space="preserve">Latino</t>
  </si>
  <si>
    <t xml:space="preserve">LM2.png</t>
  </si>
  <si>
    <t xml:space="preserve">LW1.png</t>
  </si>
  <si>
    <t xml:space="preserve">LW2.png</t>
  </si>
  <si>
    <t xml:space="preserve">WM1.png</t>
  </si>
  <si>
    <t xml:space="preserve">White</t>
  </si>
  <si>
    <t xml:space="preserve">WM2.png</t>
  </si>
  <si>
    <t xml:space="preserve">WM3.png</t>
  </si>
  <si>
    <t xml:space="preserve">WM4.png</t>
  </si>
  <si>
    <t xml:space="preserve">WW1.png</t>
  </si>
  <si>
    <t xml:space="preserve">WW2.png</t>
  </si>
  <si>
    <t xml:space="preserve">WW3.png</t>
  </si>
  <si>
    <t xml:space="preserve">WW4.png</t>
  </si>
  <si>
    <t xml:space="preserve">AM1.png</t>
  </si>
  <si>
    <t xml:space="preserve">Asian</t>
  </si>
  <si>
    <t xml:space="preserve">AM2.png</t>
  </si>
  <si>
    <t xml:space="preserve">AW1.png</t>
  </si>
  <si>
    <t xml:space="preserve">AW2.png</t>
  </si>
  <si>
    <t xml:space="preserve">MM1.png</t>
  </si>
  <si>
    <t xml:space="preserve">MENA</t>
  </si>
  <si>
    <t xml:space="preserve">MM2.png</t>
  </si>
  <si>
    <t xml:space="preserve">MW1.png</t>
  </si>
  <si>
    <t xml:space="preserve">MW2.png</t>
  </si>
  <si>
    <t xml:space="preserve">Source: Screenshot 2026-09-23 213541.png, PsychoPy_R sheet. StudyID is 9994 as shown.</t>
  </si>
  <si>
    <t xml:space="preserve">fZ and cZ are calculated as sample z-scores from the displayed slider values. Original full-precision inputs are unavailable.</t>
  </si>
  <si>
    <t xml:space="preserve">Z-scores can differ slightly in the last decimal places from the screenshot. Row 27 contains mean z-scores, approximately zero.</t>
  </si>
  <si>
    <t xml:space="preserve">The Qualtrics_T&amp;R and Measurements tabs are visible, but their contents were not supplied.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</si>
</sst>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######"/>
    <numFmt numFmtId="166" formatCode="0.########"/>
    <numFmt numFmtId="167" formatCode="0.000E+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7" activeCellId="0" sqref="G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8" min="3" style="0" width="12"/>
    <col collapsed="false" customWidth="true" hidden="false" outlineLevel="0" max="13" min="9" style="0" width="16"/>
  </cols>
  <sheetData>
    <row r="1" customFormat="fals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1" hidden="false" customHeight="true" outlineLevel="0" collapsed="false">
      <c r="A2" s="2" t="n">
        <v>9994</v>
      </c>
      <c r="B2" s="2" t="s">
        <v>13</v>
      </c>
      <c r="C2" s="2" t="s">
        <v>14</v>
      </c>
      <c r="D2" s="2" t="s">
        <v>15</v>
      </c>
      <c r="E2" s="2" t="n">
        <v>1</v>
      </c>
      <c r="F2" s="2"/>
      <c r="G2" s="2"/>
      <c r="H2" s="2" t="n">
        <v>4</v>
      </c>
      <c r="I2" s="3" t="n">
        <v>1.613333</v>
      </c>
      <c r="J2" s="2" t="n">
        <v>11</v>
      </c>
      <c r="K2" s="3" t="n">
        <v>2.18</v>
      </c>
      <c r="L2" s="4" t="n">
        <f aca="false">(I2-AVERAGE($I$2:$I$25))/stdev.s($I$2:$I$25)</f>
        <v>1.05836447131664</v>
      </c>
      <c r="M2" s="4" t="n">
        <f aca="false">(K2-AVERAGE($K$2:$K$25))/stdev.s($K$2:$K$25)</f>
        <v>1.09204843063138</v>
      </c>
    </row>
    <row r="3" customFormat="false" ht="21" hidden="false" customHeight="true" outlineLevel="0" collapsed="false">
      <c r="A3" s="2" t="n">
        <v>9994</v>
      </c>
      <c r="B3" s="2" t="s">
        <v>16</v>
      </c>
      <c r="C3" s="2" t="s">
        <v>14</v>
      </c>
      <c r="D3" s="2" t="s">
        <v>15</v>
      </c>
      <c r="E3" s="2" t="n">
        <v>2</v>
      </c>
      <c r="F3" s="2"/>
      <c r="G3" s="2"/>
      <c r="H3" s="2" t="n">
        <v>20</v>
      </c>
      <c r="I3" s="3" t="n">
        <v>1.686667</v>
      </c>
      <c r="J3" s="2" t="n">
        <v>7</v>
      </c>
      <c r="K3" s="3" t="n">
        <v>1.346667</v>
      </c>
      <c r="L3" s="4" t="n">
        <f aca="false">(I3-AVERAGE($I$2:$I$25))/stdev.s($I$2:$I$25)</f>
        <v>1.13561380973633</v>
      </c>
      <c r="M3" s="4" t="n">
        <f aca="false">(K3-AVERAGE($K$2:$K$25))/stdev.s($K$2:$K$25)</f>
        <v>-0.143299838912943</v>
      </c>
    </row>
    <row r="4" customFormat="false" ht="21" hidden="false" customHeight="true" outlineLevel="0" collapsed="false">
      <c r="A4" s="2" t="n">
        <v>9994</v>
      </c>
      <c r="B4" s="2" t="s">
        <v>17</v>
      </c>
      <c r="C4" s="2" t="s">
        <v>14</v>
      </c>
      <c r="D4" s="2" t="s">
        <v>18</v>
      </c>
      <c r="E4" s="2" t="n">
        <v>1</v>
      </c>
      <c r="F4" s="2"/>
      <c r="G4" s="2"/>
      <c r="H4" s="2" t="n">
        <v>18</v>
      </c>
      <c r="I4" s="3" t="n">
        <v>1.433333</v>
      </c>
      <c r="J4" s="2" t="n">
        <v>17</v>
      </c>
      <c r="K4" s="3" t="n">
        <v>0.746667</v>
      </c>
      <c r="L4" s="4" t="n">
        <f aca="false">(I4-AVERAGE($I$2:$I$25))/stdev.s($I$2:$I$25)</f>
        <v>0.868754182561862</v>
      </c>
      <c r="M4" s="4" t="n">
        <f aca="false">(K4-AVERAGE($K$2:$K$25))/stdev.s($K$2:$K$25)</f>
        <v>-1.0327509487653</v>
      </c>
    </row>
    <row r="5" customFormat="false" ht="21" hidden="false" customHeight="true" outlineLevel="0" collapsed="false">
      <c r="A5" s="2" t="n">
        <v>9994</v>
      </c>
      <c r="B5" s="2" t="s">
        <v>19</v>
      </c>
      <c r="C5" s="2" t="s">
        <v>14</v>
      </c>
      <c r="D5" s="2" t="s">
        <v>18</v>
      </c>
      <c r="E5" s="2" t="n">
        <v>2</v>
      </c>
      <c r="F5" s="2"/>
      <c r="G5" s="2"/>
      <c r="H5" s="2" t="n">
        <v>22</v>
      </c>
      <c r="I5" s="3" t="n">
        <v>0.98</v>
      </c>
      <c r="J5" s="2" t="n">
        <v>19</v>
      </c>
      <c r="K5" s="3" t="n">
        <v>1.353333</v>
      </c>
      <c r="L5" s="4" t="n">
        <f aca="false">(I5-AVERAGE($I$2:$I$25))/stdev.s($I$2:$I$25)</f>
        <v>0.391217510161464</v>
      </c>
      <c r="M5" s="4" t="n">
        <f aca="false">(K5-AVERAGE($K$2:$K$25))/stdev.s($K$2:$K$25)</f>
        <v>-0.133418037082483</v>
      </c>
    </row>
    <row r="6" customFormat="false" ht="21" hidden="false" customHeight="true" outlineLevel="0" collapsed="false">
      <c r="A6" s="2" t="n">
        <v>9994</v>
      </c>
      <c r="B6" s="2" t="s">
        <v>20</v>
      </c>
      <c r="C6" s="2" t="s">
        <v>21</v>
      </c>
      <c r="D6" s="2" t="s">
        <v>15</v>
      </c>
      <c r="E6" s="2" t="n">
        <v>1</v>
      </c>
      <c r="F6" s="2"/>
      <c r="G6" s="2"/>
      <c r="H6" s="2" t="n">
        <v>1</v>
      </c>
      <c r="I6" s="3" t="n">
        <v>0.466667</v>
      </c>
      <c r="J6" s="2" t="n">
        <v>0</v>
      </c>
      <c r="K6" s="3" t="n">
        <v>1.993333</v>
      </c>
      <c r="L6" s="4" t="n">
        <f aca="false">(I6-AVERAGE($I$2:$I$25))/stdev.s($I$2:$I$25)</f>
        <v>-0.14952259182386</v>
      </c>
      <c r="M6" s="4" t="n">
        <f aca="false">(K6-AVERAGE($K$2:$K$25))/stdev.s($K$2:$K$25)</f>
        <v>0.815329813426701</v>
      </c>
    </row>
    <row r="7" customFormat="false" ht="21" hidden="false" customHeight="true" outlineLevel="0" collapsed="false">
      <c r="A7" s="2" t="n">
        <v>9994</v>
      </c>
      <c r="B7" s="2" t="s">
        <v>22</v>
      </c>
      <c r="C7" s="2" t="s">
        <v>21</v>
      </c>
      <c r="D7" s="2" t="s">
        <v>15</v>
      </c>
      <c r="E7" s="2" t="n">
        <v>2</v>
      </c>
      <c r="F7" s="2"/>
      <c r="G7" s="2"/>
      <c r="H7" s="2" t="n">
        <v>16</v>
      </c>
      <c r="I7" s="3" t="n">
        <v>1.34</v>
      </c>
      <c r="J7" s="2" t="n">
        <v>23</v>
      </c>
      <c r="K7" s="3" t="n">
        <v>1.793333</v>
      </c>
      <c r="L7" s="4" t="n">
        <f aca="false">(I7-AVERAGE($I$2:$I$25))/stdev.s($I$2:$I$25)</f>
        <v>0.770438087671028</v>
      </c>
      <c r="M7" s="4" t="n">
        <f aca="false">(K7-AVERAGE($K$2:$K$25))/stdev.s($K$2:$K$25)</f>
        <v>0.518846110142581</v>
      </c>
    </row>
    <row r="8" customFormat="false" ht="21" hidden="false" customHeight="true" outlineLevel="0" collapsed="false">
      <c r="A8" s="2" t="n">
        <v>9994</v>
      </c>
      <c r="B8" s="2" t="s">
        <v>23</v>
      </c>
      <c r="C8" s="2" t="s">
        <v>21</v>
      </c>
      <c r="D8" s="2" t="s">
        <v>18</v>
      </c>
      <c r="E8" s="2" t="n">
        <v>1</v>
      </c>
      <c r="F8" s="2"/>
      <c r="G8" s="2"/>
      <c r="H8" s="2" t="n">
        <v>8</v>
      </c>
      <c r="I8" s="3" t="n">
        <v>1.286667</v>
      </c>
      <c r="J8" s="2" t="n">
        <v>10</v>
      </c>
      <c r="K8" s="3" t="n">
        <v>1.92</v>
      </c>
      <c r="L8" s="4" t="n">
        <f aca="false">(I8-AVERAGE($I$2:$I$25))/stdev.s($I$2:$I$25)</f>
        <v>0.714257612503479</v>
      </c>
      <c r="M8" s="4" t="n">
        <f aca="false">(K8-AVERAGE($K$2:$K$25))/stdev.s($K$2:$K$25)</f>
        <v>0.706619616362029</v>
      </c>
    </row>
    <row r="9" customFormat="false" ht="21" hidden="false" customHeight="true" outlineLevel="0" collapsed="false">
      <c r="A9" s="2" t="n">
        <v>9994</v>
      </c>
      <c r="B9" s="2" t="s">
        <v>24</v>
      </c>
      <c r="C9" s="2" t="s">
        <v>21</v>
      </c>
      <c r="D9" s="2" t="s">
        <v>18</v>
      </c>
      <c r="E9" s="2" t="n">
        <v>2</v>
      </c>
      <c r="F9" s="2"/>
      <c r="G9" s="2"/>
      <c r="H9" s="2" t="n">
        <v>15</v>
      </c>
      <c r="I9" s="3" t="n">
        <v>-0.16667</v>
      </c>
      <c r="J9" s="2" t="n">
        <v>3</v>
      </c>
      <c r="K9" s="3" t="n">
        <v>1.333333</v>
      </c>
      <c r="L9" s="4" t="n">
        <f aca="false">(I9-AVERAGE($I$2:$I$25))/stdev.s($I$2:$I$25)</f>
        <v>-0.816673766541012</v>
      </c>
      <c r="M9" s="4" t="n">
        <f aca="false">(K9-AVERAGE($K$2:$K$25))/stdev.s($K$2:$K$25)</f>
        <v>-0.163066407410895</v>
      </c>
    </row>
    <row r="10" customFormat="false" ht="21" hidden="false" customHeight="true" outlineLevel="0" collapsed="false">
      <c r="A10" s="2" t="n">
        <v>9994</v>
      </c>
      <c r="B10" s="2" t="s">
        <v>25</v>
      </c>
      <c r="C10" s="2" t="s">
        <v>26</v>
      </c>
      <c r="D10" s="2" t="s">
        <v>15</v>
      </c>
      <c r="E10" s="2" t="n">
        <v>1</v>
      </c>
      <c r="F10" s="2"/>
      <c r="G10" s="2"/>
      <c r="H10" s="2" t="n">
        <v>3</v>
      </c>
      <c r="I10" s="3" t="n">
        <v>-1.30667</v>
      </c>
      <c r="J10" s="2" t="n">
        <v>5</v>
      </c>
      <c r="K10" s="3" t="n">
        <v>1.026667</v>
      </c>
      <c r="L10" s="4" t="n">
        <f aca="false">(I10-AVERAGE($I$2:$I$25))/stdev.s($I$2:$I$25)</f>
        <v>-2.01753892865463</v>
      </c>
      <c r="M10" s="4" t="n">
        <f aca="false">(K10-AVERAGE($K$2:$K$25))/stdev.s($K$2:$K$25)</f>
        <v>-0.617673764167535</v>
      </c>
    </row>
    <row r="11" customFormat="false" ht="21" hidden="false" customHeight="true" outlineLevel="0" collapsed="false">
      <c r="A11" s="2" t="n">
        <v>9994</v>
      </c>
      <c r="B11" s="2" t="s">
        <v>27</v>
      </c>
      <c r="C11" s="2" t="s">
        <v>26</v>
      </c>
      <c r="D11" s="2" t="s">
        <v>15</v>
      </c>
      <c r="E11" s="2" t="n">
        <v>2</v>
      </c>
      <c r="F11" s="2"/>
      <c r="G11" s="2"/>
      <c r="H11" s="2" t="n">
        <v>19</v>
      </c>
      <c r="I11" s="3" t="n">
        <v>-1.03333</v>
      </c>
      <c r="J11" s="2" t="n">
        <v>6</v>
      </c>
      <c r="K11" s="3" t="n">
        <v>0.6</v>
      </c>
      <c r="L11" s="4" t="n">
        <f aca="false">(I11-AVERAGE($I$2:$I$25))/stdev.s($I$2:$I$25)</f>
        <v>-1.72960517127556</v>
      </c>
      <c r="M11" s="4" t="n">
        <f aca="false">(K11-AVERAGE($K$2:$K$25))/stdev.s($K$2:$K$25)</f>
        <v>-1.25017282531316</v>
      </c>
    </row>
    <row r="12" customFormat="false" ht="21" hidden="false" customHeight="true" outlineLevel="0" collapsed="false">
      <c r="A12" s="2" t="n">
        <v>9994</v>
      </c>
      <c r="B12" s="2" t="s">
        <v>28</v>
      </c>
      <c r="C12" s="2" t="s">
        <v>26</v>
      </c>
      <c r="D12" s="2" t="s">
        <v>15</v>
      </c>
      <c r="E12" s="2" t="n">
        <v>3</v>
      </c>
      <c r="F12" s="2"/>
      <c r="G12" s="2"/>
      <c r="H12" s="2" t="n">
        <v>21</v>
      </c>
      <c r="I12" s="3" t="n">
        <v>-0.69333</v>
      </c>
      <c r="J12" s="2" t="n">
        <v>16</v>
      </c>
      <c r="K12" s="3" t="n">
        <v>0.373333</v>
      </c>
      <c r="L12" s="4" t="n">
        <f aca="false">(I12-AVERAGE($I$2:$I$25))/stdev.s($I$2:$I$25)</f>
        <v>-1.37145240362764</v>
      </c>
      <c r="M12" s="4" t="n">
        <f aca="false">(K12-AVERAGE($K$2:$K$25))/stdev.s($K$2:$K$25)</f>
        <v>-1.58618818317467</v>
      </c>
    </row>
    <row r="13" customFormat="false" ht="21" hidden="false" customHeight="true" outlineLevel="0" collapsed="false">
      <c r="A13" s="2" t="n">
        <v>9994</v>
      </c>
      <c r="B13" s="2" t="s">
        <v>29</v>
      </c>
      <c r="C13" s="2" t="s">
        <v>26</v>
      </c>
      <c r="D13" s="2" t="s">
        <v>15</v>
      </c>
      <c r="E13" s="2" t="n">
        <v>4</v>
      </c>
      <c r="F13" s="2"/>
      <c r="G13" s="2"/>
      <c r="H13" s="2" t="n">
        <v>5</v>
      </c>
      <c r="I13" s="3" t="n">
        <v>1.146667</v>
      </c>
      <c r="J13" s="2" t="n">
        <v>4</v>
      </c>
      <c r="K13" s="3" t="n">
        <v>0.04</v>
      </c>
      <c r="L13" s="4" t="n">
        <f aca="false">(I13-AVERAGE($I$2:$I$25))/stdev.s($I$2:$I$25)</f>
        <v>0.566782943471982</v>
      </c>
      <c r="M13" s="4" t="n">
        <f aca="false">(K13-AVERAGE($K$2:$K$25))/stdev.s($K$2:$K$25)</f>
        <v>-2.0803271945087</v>
      </c>
    </row>
    <row r="14" customFormat="false" ht="21" hidden="false" customHeight="true" outlineLevel="0" collapsed="false">
      <c r="A14" s="2" t="n">
        <v>9994</v>
      </c>
      <c r="B14" s="2" t="s">
        <v>30</v>
      </c>
      <c r="C14" s="2" t="s">
        <v>26</v>
      </c>
      <c r="D14" s="2" t="s">
        <v>18</v>
      </c>
      <c r="E14" s="2" t="n">
        <v>1</v>
      </c>
      <c r="F14" s="2"/>
      <c r="G14" s="2"/>
      <c r="H14" s="2" t="n">
        <v>23</v>
      </c>
      <c r="I14" s="3" t="n">
        <v>-0.13333</v>
      </c>
      <c r="J14" s="2" t="n">
        <v>1</v>
      </c>
      <c r="K14" s="3" t="n">
        <v>0.806667</v>
      </c>
      <c r="L14" s="4" t="n">
        <f aca="false">(I14-AVERAGE($I$2:$I$25))/stdev.s($I$2:$I$25)</f>
        <v>-0.781553727501654</v>
      </c>
      <c r="M14" s="4" t="n">
        <f aca="false">(K14-AVERAGE($K$2:$K$25))/stdev.s($K$2:$K$25)</f>
        <v>-0.943805837780066</v>
      </c>
    </row>
    <row r="15" customFormat="false" ht="21" hidden="false" customHeight="true" outlineLevel="0" collapsed="false">
      <c r="A15" s="2" t="n">
        <v>9994</v>
      </c>
      <c r="B15" s="2" t="s">
        <v>31</v>
      </c>
      <c r="C15" s="2" t="s">
        <v>26</v>
      </c>
      <c r="D15" s="2" t="s">
        <v>18</v>
      </c>
      <c r="E15" s="2" t="n">
        <v>2</v>
      </c>
      <c r="F15" s="2"/>
      <c r="G15" s="2"/>
      <c r="H15" s="2" t="n">
        <v>12</v>
      </c>
      <c r="I15" s="3" t="n">
        <v>0.16</v>
      </c>
      <c r="J15" s="2" t="n">
        <v>18</v>
      </c>
      <c r="K15" s="3" t="n">
        <v>0.453333</v>
      </c>
      <c r="L15" s="4" t="n">
        <f aca="false">(I15-AVERAGE($I$2:$I$25))/stdev.s($I$2:$I$25)</f>
        <v>-0.472562694165875</v>
      </c>
      <c r="M15" s="4" t="n">
        <f aca="false">(K15-AVERAGE($K$2:$K$25))/stdev.s($K$2:$K$25)</f>
        <v>-1.46759470186102</v>
      </c>
    </row>
    <row r="16" customFormat="false" ht="21" hidden="false" customHeight="true" outlineLevel="0" collapsed="false">
      <c r="A16" s="2" t="n">
        <v>9994</v>
      </c>
      <c r="B16" s="2" t="s">
        <v>32</v>
      </c>
      <c r="C16" s="2" t="s">
        <v>26</v>
      </c>
      <c r="D16" s="2" t="s">
        <v>18</v>
      </c>
      <c r="E16" s="2" t="n">
        <v>3</v>
      </c>
      <c r="F16" s="2"/>
      <c r="G16" s="2"/>
      <c r="H16" s="2" t="n">
        <v>14</v>
      </c>
      <c r="I16" s="3" t="n">
        <v>-0.98667</v>
      </c>
      <c r="J16" s="2" t="n">
        <v>14</v>
      </c>
      <c r="K16" s="3" t="n">
        <v>1.873333</v>
      </c>
      <c r="L16" s="4" t="n">
        <f aca="false">(I16-AVERAGE($I$2:$I$25))/stdev.s($I$2:$I$25)</f>
        <v>-1.68045397086835</v>
      </c>
      <c r="M16" s="4" t="n">
        <f aca="false">(K16-AVERAGE($K$2:$K$25))/stdev.s($K$2:$K$25)</f>
        <v>0.637439591456228</v>
      </c>
    </row>
    <row r="17" customFormat="false" ht="21" hidden="false" customHeight="true" outlineLevel="0" collapsed="false">
      <c r="A17" s="2" t="n">
        <v>9994</v>
      </c>
      <c r="B17" s="2" t="s">
        <v>33</v>
      </c>
      <c r="C17" s="2" t="s">
        <v>26</v>
      </c>
      <c r="D17" s="2" t="s">
        <v>18</v>
      </c>
      <c r="E17" s="2" t="n">
        <v>4</v>
      </c>
      <c r="F17" s="2"/>
      <c r="G17" s="2"/>
      <c r="H17" s="2" t="n">
        <v>0</v>
      </c>
      <c r="I17" s="3" t="n">
        <v>0.466667</v>
      </c>
      <c r="J17" s="2" t="n">
        <v>12</v>
      </c>
      <c r="K17" s="3" t="n">
        <v>2.373333</v>
      </c>
      <c r="L17" s="4" t="n">
        <f aca="false">(I17-AVERAGE($I$2:$I$25))/stdev.s($I$2:$I$25)</f>
        <v>-0.14952259182386</v>
      </c>
      <c r="M17" s="4" t="n">
        <f aca="false">(K17-AVERAGE($K$2:$K$25))/stdev.s($K$2:$K$25)</f>
        <v>1.37864884966653</v>
      </c>
    </row>
    <row r="18" customFormat="false" ht="21" hidden="false" customHeight="true" outlineLevel="0" collapsed="false">
      <c r="A18" s="2" t="n">
        <v>9994</v>
      </c>
      <c r="B18" s="2" t="s">
        <v>34</v>
      </c>
      <c r="C18" s="2" t="s">
        <v>35</v>
      </c>
      <c r="D18" s="2" t="s">
        <v>15</v>
      </c>
      <c r="E18" s="2" t="n">
        <v>1</v>
      </c>
      <c r="F18" s="2"/>
      <c r="G18" s="2"/>
      <c r="H18" s="2" t="n">
        <v>7</v>
      </c>
      <c r="I18" s="3" t="n">
        <v>1.773333</v>
      </c>
      <c r="J18" s="2" t="n">
        <v>2</v>
      </c>
      <c r="K18" s="3" t="n">
        <v>1.193333</v>
      </c>
      <c r="L18" s="4" t="n">
        <f aca="false">(I18-AVERAGE($I$2:$I$25))/stdev.s($I$2:$I$25)</f>
        <v>1.22690695020978</v>
      </c>
      <c r="M18" s="4" t="n">
        <f aca="false">(K18-AVERAGE($K$2:$K$25))/stdev.s($K$2:$K$25)</f>
        <v>-0.370604999709779</v>
      </c>
    </row>
    <row r="19" customFormat="false" ht="21" hidden="false" customHeight="true" outlineLevel="0" collapsed="false">
      <c r="A19" s="2" t="n">
        <v>9994</v>
      </c>
      <c r="B19" s="2" t="s">
        <v>36</v>
      </c>
      <c r="C19" s="2" t="s">
        <v>35</v>
      </c>
      <c r="D19" s="2" t="s">
        <v>15</v>
      </c>
      <c r="E19" s="2" t="n">
        <v>2</v>
      </c>
      <c r="F19" s="2"/>
      <c r="G19" s="2"/>
      <c r="H19" s="2" t="n">
        <v>17</v>
      </c>
      <c r="I19" s="3" t="n">
        <v>0.166667</v>
      </c>
      <c r="J19" s="2" t="n">
        <v>22</v>
      </c>
      <c r="K19" s="3" t="n">
        <v>2.14</v>
      </c>
      <c r="L19" s="4" t="n">
        <f aca="false">(I19-AVERAGE($I$2:$I$25))/stdev.s($I$2:$I$25)</f>
        <v>-0.465539739748497</v>
      </c>
      <c r="M19" s="4" t="n">
        <f aca="false">(K19-AVERAGE($K$2:$K$25))/stdev.s($K$2:$K$25)</f>
        <v>1.03275168997456</v>
      </c>
    </row>
    <row r="20" customFormat="false" ht="21" hidden="false" customHeight="true" outlineLevel="0" collapsed="false">
      <c r="A20" s="2" t="n">
        <v>9994</v>
      </c>
      <c r="B20" s="2" t="s">
        <v>37</v>
      </c>
      <c r="C20" s="2" t="s">
        <v>35</v>
      </c>
      <c r="D20" s="2" t="s">
        <v>18</v>
      </c>
      <c r="E20" s="2" t="n">
        <v>1</v>
      </c>
      <c r="F20" s="2"/>
      <c r="G20" s="2"/>
      <c r="H20" s="2" t="n">
        <v>6</v>
      </c>
      <c r="I20" s="3" t="n">
        <v>1.966667</v>
      </c>
      <c r="J20" s="2" t="n">
        <v>9</v>
      </c>
      <c r="K20" s="3" t="n">
        <v>1.893333</v>
      </c>
      <c r="L20" s="4" t="n">
        <f aca="false">(I20-AVERAGE($I$2:$I$25))/stdev.s($I$2:$I$25)</f>
        <v>1.43056314779932</v>
      </c>
      <c r="M20" s="4" t="n">
        <f aca="false">(K20-AVERAGE($K$2:$K$25))/stdev.s($K$2:$K$25)</f>
        <v>0.667087961784641</v>
      </c>
    </row>
    <row r="21" customFormat="false" ht="21" hidden="false" customHeight="true" outlineLevel="0" collapsed="false">
      <c r="A21" s="2" t="n">
        <v>9994</v>
      </c>
      <c r="B21" s="2" t="s">
        <v>38</v>
      </c>
      <c r="C21" s="2" t="s">
        <v>35</v>
      </c>
      <c r="D21" s="2" t="s">
        <v>18</v>
      </c>
      <c r="E21" s="2" t="n">
        <v>2</v>
      </c>
      <c r="F21" s="2"/>
      <c r="G21" s="2"/>
      <c r="H21" s="2" t="n">
        <v>9</v>
      </c>
      <c r="I21" s="3" t="n">
        <v>1.513333</v>
      </c>
      <c r="J21" s="2" t="n">
        <v>20</v>
      </c>
      <c r="K21" s="3" t="n">
        <v>1.786667</v>
      </c>
      <c r="L21" s="4" t="n">
        <f aca="false">(I21-AVERAGE($I$2:$I$25))/stdev.s($I$2:$I$25)</f>
        <v>0.953025422008431</v>
      </c>
      <c r="M21" s="4" t="n">
        <f aca="false">(K21-AVERAGE($K$2:$K$25))/stdev.s($K$2:$K$25)</f>
        <v>0.508964308312121</v>
      </c>
    </row>
    <row r="22" customFormat="false" ht="21" hidden="false" customHeight="true" outlineLevel="0" collapsed="false">
      <c r="A22" s="2" t="n">
        <v>9994</v>
      </c>
      <c r="B22" s="2" t="s">
        <v>39</v>
      </c>
      <c r="C22" s="2" t="s">
        <v>40</v>
      </c>
      <c r="D22" s="2" t="s">
        <v>15</v>
      </c>
      <c r="E22" s="2" t="n">
        <v>1</v>
      </c>
      <c r="F22" s="2"/>
      <c r="G22" s="2"/>
      <c r="H22" s="2" t="n">
        <v>2</v>
      </c>
      <c r="I22" s="3" t="n">
        <v>1.02</v>
      </c>
      <c r="J22" s="2" t="n">
        <v>15</v>
      </c>
      <c r="K22" s="3" t="n">
        <v>2.153333</v>
      </c>
      <c r="L22" s="4" t="n">
        <f aca="false">(I22-AVERAGE($I$2:$I$25))/stdev.s($I$2:$I$25)</f>
        <v>0.433353129884749</v>
      </c>
      <c r="M22" s="4" t="n">
        <f aca="false">(K22-AVERAGE($K$2:$K$25))/stdev.s($K$2:$K$25)</f>
        <v>1.052516776054</v>
      </c>
    </row>
    <row r="23" customFormat="false" ht="21" hidden="false" customHeight="true" outlineLevel="0" collapsed="false">
      <c r="A23" s="2" t="n">
        <v>9994</v>
      </c>
      <c r="B23" s="2" t="s">
        <v>41</v>
      </c>
      <c r="C23" s="2" t="s">
        <v>40</v>
      </c>
      <c r="D23" s="2" t="s">
        <v>15</v>
      </c>
      <c r="E23" s="2" t="n">
        <v>2</v>
      </c>
      <c r="F23" s="2"/>
      <c r="G23" s="2"/>
      <c r="H23" s="2" t="n">
        <v>10</v>
      </c>
      <c r="I23" s="3" t="n">
        <v>0.653333</v>
      </c>
      <c r="J23" s="2" t="n">
        <v>13</v>
      </c>
      <c r="K23" s="3" t="n">
        <v>1.28</v>
      </c>
      <c r="L23" s="4" t="n">
        <f aca="false">(I23-AVERAGE($I$2:$I$25))/stdev.s($I$2:$I$25)</f>
        <v>0.0471095979578071</v>
      </c>
      <c r="M23" s="4" t="n">
        <f aca="false">(K23-AVERAGE($K$2:$K$25))/stdev.s($K$2:$K$25)</f>
        <v>-0.242128234147155</v>
      </c>
    </row>
    <row r="24" customFormat="false" ht="21" hidden="false" customHeight="true" outlineLevel="0" collapsed="false">
      <c r="A24" s="2" t="n">
        <v>9994</v>
      </c>
      <c r="B24" s="2" t="s">
        <v>42</v>
      </c>
      <c r="C24" s="2" t="s">
        <v>40</v>
      </c>
      <c r="D24" s="2" t="s">
        <v>18</v>
      </c>
      <c r="E24" s="2" t="n">
        <v>1</v>
      </c>
      <c r="F24" s="2"/>
      <c r="G24" s="2"/>
      <c r="H24" s="2" t="n">
        <v>11</v>
      </c>
      <c r="I24" s="3" t="n">
        <v>0.813333</v>
      </c>
      <c r="J24" s="2" t="n">
        <v>21</v>
      </c>
      <c r="K24" s="3" t="n">
        <v>2.393333</v>
      </c>
      <c r="L24" s="4" t="n">
        <f aca="false">(I24-AVERAGE($I$2:$I$25))/stdev.s($I$2:$I$25)</f>
        <v>0.215652076850946</v>
      </c>
      <c r="M24" s="4" t="n">
        <f aca="false">(K24-AVERAGE($K$2:$K$25))/stdev.s($K$2:$K$25)</f>
        <v>1.40829721999494</v>
      </c>
    </row>
    <row r="25" customFormat="false" ht="21" hidden="false" customHeight="true" outlineLevel="0" collapsed="false">
      <c r="A25" s="2" t="n">
        <v>9994</v>
      </c>
      <c r="B25" s="2" t="s">
        <v>43</v>
      </c>
      <c r="C25" s="2" t="s">
        <v>40</v>
      </c>
      <c r="D25" s="2" t="s">
        <v>18</v>
      </c>
      <c r="E25" s="2" t="n">
        <v>2</v>
      </c>
      <c r="F25" s="2"/>
      <c r="G25" s="2"/>
      <c r="H25" s="2" t="n">
        <v>13</v>
      </c>
      <c r="I25" s="3" t="n">
        <v>0.44</v>
      </c>
      <c r="J25" s="2" t="n">
        <v>8</v>
      </c>
      <c r="K25" s="3" t="n">
        <v>1.586667</v>
      </c>
      <c r="L25" s="4" t="n">
        <f aca="false">(I25-AVERAGE($I$2:$I$25))/stdev.s($I$2:$I$25)</f>
        <v>-0.177613356102881</v>
      </c>
      <c r="M25" s="4" t="n">
        <f aca="false">(K25-AVERAGE($K$2:$K$25))/stdev.s($K$2:$K$25)</f>
        <v>0.212480605028001</v>
      </c>
    </row>
    <row r="26" customFormat="false" ht="21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21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5" t="n">
        <f aca="false">AVERAGE(L2:L25)</f>
        <v>4.74157750100327E-017</v>
      </c>
      <c r="M27" s="5" t="n">
        <f aca="false">AVERAGE(M2:M25)</f>
        <v>-3.35379872022183E-017</v>
      </c>
    </row>
    <row r="30" customFormat="false" ht="30" hidden="false" customHeight="true" outlineLevel="0" collapsed="false">
      <c r="A30" s="6" t="s">
        <v>44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30" hidden="false" customHeight="true" outlineLevel="0" collapsed="false">
      <c r="A31" s="6" t="s">
        <v>45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30" hidden="false" customHeight="true" outlineLevel="0" collapsed="false">
      <c r="A32" s="6" t="s">
        <v>46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30" hidden="false" customHeight="true" outlineLevel="0" collapsed="false">
      <c r="A33" s="6" t="s">
        <v>47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</sheetData>
  <mergeCells count="4">
    <mergeCell ref="A30:M30"/>
    <mergeCell ref="A31:M31"/>
    <mergeCell ref="A32:M32"/>
    <mergeCell ref="A33:M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2026-09-23T23:01:03Z</dcterms:modified>
  <cp:revision>1</cp:revision>
  <dc:subject/>
  <dc:title/>
</cp:coreProperties>
</file>